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aron.Mobley\Desktop\"/>
    </mc:Choice>
  </mc:AlternateContent>
  <xr:revisionPtr revIDLastSave="0" documentId="8_{D88CD414-9719-4D6F-A10E-384DD8D5F133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Campus Day Breakdown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17" i="1" l="1"/>
  <c r="Q17" i="1"/>
  <c r="O17" i="1"/>
  <c r="M17" i="1"/>
  <c r="K17" i="1"/>
  <c r="I17" i="1"/>
  <c r="G17" i="1"/>
  <c r="F17" i="1"/>
  <c r="E17" i="1"/>
  <c r="C17" i="1"/>
  <c r="B17" i="1"/>
  <c r="Q16" i="1"/>
  <c r="R16" i="1" s="1"/>
  <c r="O16" i="1"/>
  <c r="P16" i="1" s="1"/>
  <c r="L16" i="1"/>
  <c r="K16" i="1"/>
  <c r="I16" i="1"/>
  <c r="J16" i="1" s="1"/>
  <c r="G16" i="1"/>
  <c r="H16" i="1" s="1"/>
  <c r="C16" i="1"/>
  <c r="D16" i="1" s="1"/>
  <c r="S15" i="1"/>
  <c r="T15" i="1" s="1"/>
  <c r="Q15" i="1"/>
  <c r="R15" i="1" s="1"/>
  <c r="O15" i="1"/>
  <c r="P15" i="1" s="1"/>
  <c r="M15" i="1"/>
  <c r="N15" i="1" s="1"/>
  <c r="K15" i="1"/>
  <c r="L15" i="1" s="1"/>
  <c r="I15" i="1"/>
  <c r="J15" i="1" s="1"/>
  <c r="G15" i="1"/>
  <c r="H15" i="1" s="1"/>
  <c r="C15" i="1"/>
  <c r="D15" i="1" s="1"/>
  <c r="Q14" i="1"/>
  <c r="O14" i="1"/>
  <c r="K14" i="1"/>
  <c r="I14" i="1"/>
  <c r="G14" i="1"/>
  <c r="C14" i="1"/>
  <c r="S13" i="1"/>
  <c r="T13" i="1" s="1"/>
  <c r="Q13" i="1"/>
  <c r="R13" i="1" s="1"/>
  <c r="O13" i="1"/>
  <c r="P13" i="1" s="1"/>
  <c r="M13" i="1"/>
  <c r="N13" i="1" s="1"/>
  <c r="K13" i="1"/>
  <c r="L13" i="1" s="1"/>
  <c r="I13" i="1"/>
  <c r="J13" i="1" s="1"/>
  <c r="H13" i="1"/>
  <c r="G13" i="1"/>
  <c r="F13" i="1"/>
  <c r="E13" i="1"/>
  <c r="C13" i="1"/>
  <c r="D13" i="1" s="1"/>
  <c r="Q12" i="1"/>
  <c r="R12" i="1" s="1"/>
  <c r="O12" i="1"/>
  <c r="P12" i="1" s="1"/>
  <c r="M12" i="1"/>
  <c r="N12" i="1" s="1"/>
  <c r="Q11" i="1"/>
  <c r="O11" i="1"/>
  <c r="K11" i="1"/>
  <c r="I11" i="1"/>
  <c r="G11" i="1"/>
  <c r="C11" i="1"/>
  <c r="Q10" i="1"/>
  <c r="R10" i="1" s="1"/>
  <c r="O10" i="1"/>
  <c r="P10" i="1" s="1"/>
  <c r="K10" i="1"/>
  <c r="L10" i="1" s="1"/>
  <c r="I10" i="1"/>
  <c r="J10" i="1" s="1"/>
  <c r="G10" i="1"/>
  <c r="H10" i="1" s="1"/>
  <c r="C10" i="1"/>
  <c r="D10" i="1" s="1"/>
  <c r="Q9" i="1"/>
  <c r="R9" i="1" s="1"/>
  <c r="O9" i="1"/>
  <c r="P9" i="1" s="1"/>
  <c r="M9" i="1"/>
  <c r="N9" i="1" s="1"/>
  <c r="K9" i="1"/>
  <c r="L9" i="1" s="1"/>
  <c r="I9" i="1"/>
  <c r="J9" i="1" s="1"/>
  <c r="G9" i="1"/>
  <c r="H9" i="1" s="1"/>
  <c r="C9" i="1"/>
  <c r="D9" i="1" s="1"/>
  <c r="Q8" i="1"/>
  <c r="R8" i="1" s="1"/>
  <c r="O8" i="1"/>
  <c r="P8" i="1" s="1"/>
  <c r="K8" i="1"/>
  <c r="L8" i="1" s="1"/>
  <c r="I8" i="1"/>
  <c r="J8" i="1" s="1"/>
  <c r="G8" i="1"/>
  <c r="H8" i="1" s="1"/>
  <c r="C8" i="1"/>
  <c r="D8" i="1" s="1"/>
  <c r="Q7" i="1"/>
  <c r="R7" i="1" s="1"/>
  <c r="O7" i="1"/>
  <c r="P7" i="1" s="1"/>
  <c r="K7" i="1"/>
  <c r="L7" i="1" s="1"/>
  <c r="I7" i="1"/>
  <c r="J7" i="1" s="1"/>
  <c r="G7" i="1"/>
  <c r="H7" i="1" s="1"/>
  <c r="C7" i="1"/>
  <c r="D7" i="1" s="1"/>
  <c r="S6" i="1"/>
  <c r="T6" i="1" s="1"/>
  <c r="Q6" i="1"/>
  <c r="R6" i="1" s="1"/>
  <c r="O6" i="1"/>
  <c r="P6" i="1" s="1"/>
  <c r="M6" i="1"/>
  <c r="N6" i="1" s="1"/>
  <c r="N17" i="1" s="1"/>
  <c r="K6" i="1"/>
  <c r="L6" i="1" s="1"/>
  <c r="I6" i="1"/>
  <c r="J6" i="1" s="1"/>
  <c r="G6" i="1"/>
  <c r="H6" i="1" s="1"/>
  <c r="C6" i="1"/>
  <c r="D6" i="1" s="1"/>
  <c r="Q5" i="1"/>
  <c r="R5" i="1" s="1"/>
  <c r="O5" i="1"/>
  <c r="P5" i="1" s="1"/>
  <c r="K5" i="1"/>
  <c r="L5" i="1" s="1"/>
  <c r="I5" i="1"/>
  <c r="J5" i="1" s="1"/>
  <c r="G5" i="1"/>
  <c r="H5" i="1" s="1"/>
  <c r="C5" i="1"/>
  <c r="D5" i="1" s="1"/>
  <c r="Q4" i="1"/>
  <c r="R4" i="1" s="1"/>
  <c r="O4" i="1"/>
  <c r="P4" i="1" s="1"/>
  <c r="K4" i="1"/>
  <c r="L4" i="1" s="1"/>
  <c r="L17" i="1" s="1"/>
  <c r="I4" i="1"/>
  <c r="J4" i="1" s="1"/>
  <c r="G4" i="1"/>
  <c r="H4" i="1" s="1"/>
  <c r="C4" i="1"/>
  <c r="D4" i="1" s="1"/>
  <c r="P17" i="1" l="1"/>
  <c r="T17" i="1"/>
  <c r="R17" i="1"/>
  <c r="J17" i="1"/>
  <c r="H17" i="1"/>
  <c r="D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2" authorId="0" shapeId="0" xr:uid="{00000000-0006-0000-0000-000001000000}">
      <text>
        <r>
          <rPr>
            <sz val="10"/>
            <rFont val="Arial"/>
            <family val="2"/>
          </rPr>
          <t>Source data has no Wed/Thu/Fri/Sat attendance for Ponte Vedra across all 3 historical years (all NA) - only Sunday. Full total lands on Sunday.</t>
        </r>
      </text>
    </comment>
    <comment ref="A13" authorId="0" shapeId="0" xr:uid="{00000000-0006-0000-0000-000002000000}">
      <text>
        <r>
          <rPr>
            <sz val="10"/>
            <rFont val="Arial"/>
            <family val="2"/>
          </rPr>
          <t>Thursday 7:22 split evenly with new Thursday 5:22 service (added for Saturated). Original Thursday adults+kids total increased 5% to account for the added service, then split 50/50.</t>
        </r>
      </text>
    </comment>
  </commentList>
</comments>
</file>

<file path=xl/sharedStrings.xml><?xml version="1.0" encoding="utf-8"?>
<sst xmlns="http://schemas.openxmlformats.org/spreadsheetml/2006/main" count="112" uniqueCount="46">
  <si>
    <t>Saturated Event — Campus Day Breakdown (2026 Projected Counts, with Kids Split)</t>
  </si>
  <si>
    <t>Campus</t>
  </si>
  <si>
    <t>Total</t>
  </si>
  <si>
    <t>Wednesday 6:22</t>
  </si>
  <si>
    <t>Wednesday 6:22 Kids</t>
  </si>
  <si>
    <t>Thursday 5:22</t>
  </si>
  <si>
    <t>Thursday 5:22 Kids</t>
  </si>
  <si>
    <t>Thursday 7:22</t>
  </si>
  <si>
    <t>Thursday 7:22 Kids</t>
  </si>
  <si>
    <t>Friday 6:22</t>
  </si>
  <si>
    <t>Friday 6:22 Kids</t>
  </si>
  <si>
    <t>Saturday 6:22</t>
  </si>
  <si>
    <t>Saturday 6:22 Kids</t>
  </si>
  <si>
    <t>Sunday 7:22 AM</t>
  </si>
  <si>
    <t>Sunday 7:22 AM Kids</t>
  </si>
  <si>
    <t>Sunday 9:22 AM</t>
  </si>
  <si>
    <t>Sunday 9:22 AM Kids</t>
  </si>
  <si>
    <t>Sunday 11:22 AM</t>
  </si>
  <si>
    <t>Sunday 11:22 AM Kids</t>
  </si>
  <si>
    <t>Sunday 4:22 PM</t>
  </si>
  <si>
    <t>Sunday 4:22 PM Kids</t>
  </si>
  <si>
    <t>Arlington</t>
  </si>
  <si>
    <t>N/A</t>
  </si>
  <si>
    <t>Baymeadows</t>
  </si>
  <si>
    <t>Fleming Island</t>
  </si>
  <si>
    <t>Jesup</t>
  </si>
  <si>
    <t>Mandarin</t>
  </si>
  <si>
    <t>North Jax</t>
  </si>
  <si>
    <t>Orange Park</t>
  </si>
  <si>
    <t>Palatka</t>
  </si>
  <si>
    <t>TBD</t>
  </si>
  <si>
    <t>Ponte Vedra</t>
  </si>
  <si>
    <t>San Pablo</t>
  </si>
  <si>
    <t>St. Augustine</t>
  </si>
  <si>
    <t>St. Johns</t>
  </si>
  <si>
    <t>Wildlight</t>
  </si>
  <si>
    <t>GRAND TOTAL</t>
  </si>
  <si>
    <t>Notes:</t>
  </si>
  <si>
    <t>• Weekday/Saturday/Sunday adults values = 3-year average day-of-week share x 2026 campus total (with manual overrides noted below).</t>
  </si>
  <si>
    <t>• Kids columns are ADDITIVE (Kids added on top of Adults, not a subset) = Adults x (KidsPct/(100-KidsPct)), using 3-year average Kids % from avg_kids_saturated.csv.</t>
  </si>
  <si>
    <t>• St. Augustine and Palatka Kids columns use Aaron's own updated figures (not the CSV average).</t>
  </si>
  <si>
    <t>• Service times in headers: Wed 6:22, Thu 7:22, Fri 6:22, Sat 6:22.</t>
  </si>
  <si>
    <t>• NEW: San Pablo added a Thursday 5:22 service. Original Thursday total (adults+kids) increased 5% to account for the added service, then split 50/50 between Thursday 5:22 and Thursday 7:22. No other campus runs a 5:22 Thursday service.</t>
  </si>
  <si>
    <t>• Sunday 7:22 PM service removed (that slot is normally a Thursday service during a regular week); its share was redistributed proportionally across each campus's remaining Sunday service times.</t>
  </si>
  <si>
    <t>• Sunday splits use NormShare values from Service_Projections.csv (re-normalized after excluding 7:22 PM), multiplied by each campus's overall Sunday share of Total.</t>
  </si>
  <si>
    <t>• Other manual overrides: St. Johns moved 25% of 9:22 AM &amp; 11:22 AM into Wed/Thu/Fri/Sat evenly. St. Augustine moved 15% of Thursday &amp; Friday into its two Sunday services evenly, then had a flat +100 added to each Sunday service. Arlington, Orange Park, and Wildlight had their Sunday 7:22 AM service removed and redistributed proportionally into 9:22 AM/11:22 AM. San Pablo's Wednesday and Thursday (adults+kids) were swapped. Ponte Vedra has no Wed/Thu/Fri/Sat services (all N/A) — full total lands on Sunday.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</si>
</sst>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11"/>
      <color rgb="FFA6A6A6"/>
      <name val="Arial"/>
      <charset val="1"/>
    </font>
    <font>
      <b/>
      <sz val="11"/>
      <name val="Arial"/>
      <charset val="1"/>
    </font>
    <font>
      <i/>
      <sz val="9"/>
      <color rgb="FF808080"/>
      <name val="Arial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70AD47"/>
        <bgColor rgb="FF99CC00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3" fontId="5" fillId="0" borderId="1" xfId="0" applyNumberFormat="1" applyFont="1" applyBorder="1" applyAlignment="1">
      <alignment horizont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7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640625" defaultRowHeight="14.4" x14ac:dyDescent="0.3"/>
  <cols>
    <col min="1" max="1" width="16" customWidth="1"/>
    <col min="2" max="2" width="10" customWidth="1"/>
    <col min="3" max="20" width="14" customWidth="1"/>
  </cols>
  <sheetData>
    <row r="1" spans="1:20" ht="17.25" customHeight="1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3" spans="1:20" ht="15" customHeight="1" x14ac:dyDescent="0.3">
      <c r="A3" s="2" t="s">
        <v>1</v>
      </c>
      <c r="B3" s="2" t="s">
        <v>2</v>
      </c>
      <c r="C3" s="2" t="s">
        <v>3</v>
      </c>
      <c r="D3" s="3" t="s">
        <v>4</v>
      </c>
      <c r="E3" s="2" t="s">
        <v>5</v>
      </c>
      <c r="F3" s="3" t="s">
        <v>6</v>
      </c>
      <c r="G3" s="2" t="s">
        <v>7</v>
      </c>
      <c r="H3" s="3" t="s">
        <v>8</v>
      </c>
      <c r="I3" s="2" t="s">
        <v>9</v>
      </c>
      <c r="J3" s="3" t="s">
        <v>10</v>
      </c>
      <c r="K3" s="2" t="s">
        <v>11</v>
      </c>
      <c r="L3" s="3" t="s">
        <v>12</v>
      </c>
      <c r="M3" s="2" t="s">
        <v>13</v>
      </c>
      <c r="N3" s="3" t="s">
        <v>14</v>
      </c>
      <c r="O3" s="2" t="s">
        <v>15</v>
      </c>
      <c r="P3" s="3" t="s">
        <v>16</v>
      </c>
      <c r="Q3" s="2" t="s">
        <v>17</v>
      </c>
      <c r="R3" s="3" t="s">
        <v>18</v>
      </c>
      <c r="S3" s="2" t="s">
        <v>19</v>
      </c>
      <c r="T3" s="3" t="s">
        <v>20</v>
      </c>
    </row>
    <row r="4" spans="1:20" ht="15" customHeight="1" x14ac:dyDescent="0.3">
      <c r="A4" s="4" t="s">
        <v>21</v>
      </c>
      <c r="B4" s="5">
        <v>2652</v>
      </c>
      <c r="C4" s="5">
        <f>B4*0.165194760749667</f>
        <v>438.09650550811688</v>
      </c>
      <c r="D4" s="5">
        <f>C4*0.221382740379925</f>
        <v>96.987004940255829</v>
      </c>
      <c r="E4" s="6" t="s">
        <v>22</v>
      </c>
      <c r="F4" s="6" t="s">
        <v>22</v>
      </c>
      <c r="G4" s="5">
        <f>B4*0.125660677938892</f>
        <v>333.25211789394154</v>
      </c>
      <c r="H4" s="5">
        <f>G4*0.160089035289902</f>
        <v>53.350010061957796</v>
      </c>
      <c r="I4" s="5">
        <f>B4*0.165020392776645</f>
        <v>437.63408164366251</v>
      </c>
      <c r="J4" s="5">
        <f>I4*0.253162208655176</f>
        <v>110.79241069168923</v>
      </c>
      <c r="K4" s="5">
        <f>B4*0.109709027833619</f>
        <v>290.94834181475755</v>
      </c>
      <c r="L4" s="5">
        <f>K4*0.271508466979753</f>
        <v>78.994938256425996</v>
      </c>
      <c r="M4" s="6" t="s">
        <v>22</v>
      </c>
      <c r="N4" s="6" t="s">
        <v>22</v>
      </c>
      <c r="O4" s="5">
        <f>B4*0.244355691069816</f>
        <v>648.03129271715204</v>
      </c>
      <c r="P4" s="5">
        <f>O4*0.262918637646635</f>
        <v>170.37950463358135</v>
      </c>
      <c r="Q4" s="5">
        <f>B4*0.190059449631361</f>
        <v>504.03766042236941</v>
      </c>
      <c r="R4" s="5">
        <f>Q4*0.262918637646635</f>
        <v>132.52089500084659</v>
      </c>
      <c r="S4" s="6" t="s">
        <v>22</v>
      </c>
      <c r="T4" s="6" t="s">
        <v>22</v>
      </c>
    </row>
    <row r="5" spans="1:20" ht="15" customHeight="1" x14ac:dyDescent="0.3">
      <c r="A5" s="4" t="s">
        <v>23</v>
      </c>
      <c r="B5" s="5">
        <v>1598</v>
      </c>
      <c r="C5" s="5">
        <f>B5*0.170281611569194</f>
        <v>272.11001528757203</v>
      </c>
      <c r="D5" s="5">
        <f>C5*0.167066380692879</f>
        <v>45.460435404378629</v>
      </c>
      <c r="E5" s="6" t="s">
        <v>22</v>
      </c>
      <c r="F5" s="6" t="s">
        <v>22</v>
      </c>
      <c r="G5" s="5">
        <f>B5*0.142560819500538</f>
        <v>227.81218956185973</v>
      </c>
      <c r="H5" s="5">
        <f>G5*0.1246897724442</f>
        <v>28.405850076483244</v>
      </c>
      <c r="I5" s="5">
        <f>B5*0.165714040738286</f>
        <v>264.811037099781</v>
      </c>
      <c r="J5" s="5">
        <f>I5*0.167037036843132</f>
        <v>44.233250960504115</v>
      </c>
      <c r="K5" s="5">
        <f>B5*0.120660291933985</f>
        <v>192.81514651050804</v>
      </c>
      <c r="L5" s="5">
        <f>K5*0.147569749078786</f>
        <v>28.453682789145034</v>
      </c>
      <c r="M5" s="6" t="s">
        <v>22</v>
      </c>
      <c r="N5" s="6" t="s">
        <v>22</v>
      </c>
      <c r="O5" s="5">
        <f>B5*0.228900540513003</f>
        <v>365.78306373977875</v>
      </c>
      <c r="P5" s="5">
        <f>O5*0.189877836535326</f>
        <v>69.454096784172435</v>
      </c>
      <c r="Q5" s="5">
        <f>B5*0.171882695744994</f>
        <v>274.66854780050045</v>
      </c>
      <c r="R5" s="5">
        <f>Q5*0.189877836535326</f>
        <v>52.153469620658797</v>
      </c>
      <c r="S5" s="6" t="s">
        <v>22</v>
      </c>
      <c r="T5" s="6" t="s">
        <v>22</v>
      </c>
    </row>
    <row r="6" spans="1:20" ht="15" customHeight="1" x14ac:dyDescent="0.3">
      <c r="A6" s="4" t="s">
        <v>24</v>
      </c>
      <c r="B6" s="5">
        <v>5549</v>
      </c>
      <c r="C6" s="5">
        <f>B6*0.162886760547488</f>
        <v>903.85863427801087</v>
      </c>
      <c r="D6" s="5">
        <f>C6*0.19370260155277</f>
        <v>175.07976889558441</v>
      </c>
      <c r="E6" s="6" t="s">
        <v>22</v>
      </c>
      <c r="F6" s="6" t="s">
        <v>22</v>
      </c>
      <c r="G6" s="5">
        <f>B6*0.150077490532205</f>
        <v>832.77999496320558</v>
      </c>
      <c r="H6" s="5">
        <f>G6*0.139530410143967</f>
        <v>116.19813425690684</v>
      </c>
      <c r="I6" s="5">
        <f>B6*0.140803984272121</f>
        <v>781.32130872599953</v>
      </c>
      <c r="J6" s="5">
        <f>I6*0.245570708757193</f>
        <v>191.86962755094132</v>
      </c>
      <c r="K6" s="5">
        <f>B6*0.11160868137295</f>
        <v>619.31657293849958</v>
      </c>
      <c r="L6" s="5">
        <f>K6*0.202077177903125</f>
        <v>125.14974528804686</v>
      </c>
      <c r="M6" s="5">
        <f>B6*0.0236790574517379</f>
        <v>131.39508979969361</v>
      </c>
      <c r="N6" s="5">
        <f>M6*0.23900225952911</f>
        <v>31.403723353157087</v>
      </c>
      <c r="O6" s="5">
        <f>B6*0.186708119351</f>
        <v>1036.0433542786991</v>
      </c>
      <c r="P6" s="5">
        <f>O6*0.23900225952911</f>
        <v>247.61670264272729</v>
      </c>
      <c r="Q6" s="5">
        <f>B6*0.187434610087774</f>
        <v>1040.074651377058</v>
      </c>
      <c r="R6" s="5">
        <f>Q6*0.23900225952911</f>
        <v>248.58019175806822</v>
      </c>
      <c r="S6" s="5">
        <f>B6*0.0368012963847241</f>
        <v>204.21039363883401</v>
      </c>
      <c r="T6" s="5">
        <f>S6*0.23900225952911</f>
        <v>48.806745499010319</v>
      </c>
    </row>
    <row r="7" spans="1:20" ht="15" customHeight="1" x14ac:dyDescent="0.3">
      <c r="A7" s="4" t="s">
        <v>25</v>
      </c>
      <c r="B7" s="5">
        <v>1325</v>
      </c>
      <c r="C7" s="5">
        <f>B7*0.180629838584985</f>
        <v>239.3345361251051</v>
      </c>
      <c r="D7" s="5">
        <f>C7*0.24476527168721</f>
        <v>58.580782758793724</v>
      </c>
      <c r="E7" s="6" t="s">
        <v>22</v>
      </c>
      <c r="F7" s="6" t="s">
        <v>22</v>
      </c>
      <c r="G7" s="5">
        <f>B7*0.156079366708595</f>
        <v>206.80516088888839</v>
      </c>
      <c r="H7" s="5">
        <f>G7*0.291939752549308</f>
        <v>60.374647495821904</v>
      </c>
      <c r="I7" s="5">
        <f>B7*0.197282644234621</f>
        <v>261.39950361087284</v>
      </c>
      <c r="J7" s="5">
        <f>I7*0.329854694717023</f>
        <v>86.223853462745808</v>
      </c>
      <c r="K7" s="5">
        <f>B7*0.149720730920334</f>
        <v>198.37996846944256</v>
      </c>
      <c r="L7" s="5">
        <f>K7*0.328458814120873</f>
        <v>65.159649188809283</v>
      </c>
      <c r="M7" s="6" t="s">
        <v>22</v>
      </c>
      <c r="N7" s="6" t="s">
        <v>22</v>
      </c>
      <c r="O7" s="5">
        <f>B7*0.191701873898078</f>
        <v>254.00498291495333</v>
      </c>
      <c r="P7" s="5">
        <f>O7*0.248022156998489</f>
        <v>62.998863750931072</v>
      </c>
      <c r="Q7" s="5">
        <f>B7*0.124585545653387</f>
        <v>165.07584799073777</v>
      </c>
      <c r="R7" s="5">
        <f>Q7*0.248022156998489</f>
        <v>40.942467887017472</v>
      </c>
      <c r="S7" s="6" t="s">
        <v>22</v>
      </c>
      <c r="T7" s="6" t="s">
        <v>22</v>
      </c>
    </row>
    <row r="8" spans="1:20" ht="15" customHeight="1" x14ac:dyDescent="0.3">
      <c r="A8" s="4" t="s">
        <v>26</v>
      </c>
      <c r="B8" s="5">
        <v>2818</v>
      </c>
      <c r="C8" s="5">
        <f>B8*0.191942233205353</f>
        <v>540.8932131726848</v>
      </c>
      <c r="D8" s="5">
        <f>C8*0.231380242469549</f>
        <v>125.15200281402926</v>
      </c>
      <c r="E8" s="6" t="s">
        <v>22</v>
      </c>
      <c r="F8" s="6" t="s">
        <v>22</v>
      </c>
      <c r="G8" s="5">
        <f>B8*0.127451997635658</f>
        <v>359.15972933728426</v>
      </c>
      <c r="H8" s="5">
        <f>G8*0.18187461204221</f>
        <v>65.322036434403728</v>
      </c>
      <c r="I8" s="5">
        <f>B8*0.170914440076473</f>
        <v>481.63689213550089</v>
      </c>
      <c r="J8" s="5">
        <f>I8*0.28362266397404</f>
        <v>136.60313841564812</v>
      </c>
      <c r="K8" s="5">
        <f>B8*0.164078058260773</f>
        <v>462.37196817885837</v>
      </c>
      <c r="L8" s="5">
        <f>K8*0.23813639973215</f>
        <v>110.10759583918156</v>
      </c>
      <c r="M8" s="6" t="s">
        <v>22</v>
      </c>
      <c r="N8" s="6" t="s">
        <v>22</v>
      </c>
      <c r="O8" s="5">
        <f>B8*0.201344011577555</f>
        <v>567.38742462555001</v>
      </c>
      <c r="P8" s="5">
        <f>O8*0.265959604458341</f>
        <v>150.90213502804804</v>
      </c>
      <c r="Q8" s="5">
        <f>B8*0.144269259244188</f>
        <v>406.55077255012174</v>
      </c>
      <c r="R8" s="5">
        <f>Q8*0.265959604458341</f>
        <v>108.12608265966333</v>
      </c>
      <c r="S8" s="6" t="s">
        <v>22</v>
      </c>
      <c r="T8" s="6" t="s">
        <v>22</v>
      </c>
    </row>
    <row r="9" spans="1:20" ht="15" customHeight="1" x14ac:dyDescent="0.3">
      <c r="A9" s="4" t="s">
        <v>27</v>
      </c>
      <c r="B9" s="5">
        <v>3714</v>
      </c>
      <c r="C9" s="5">
        <f>B9*0.160678638752842</f>
        <v>596.76046432805515</v>
      </c>
      <c r="D9" s="5">
        <f>C9*0.234086203153537</f>
        <v>139.6933912866962</v>
      </c>
      <c r="E9" s="6" t="s">
        <v>22</v>
      </c>
      <c r="F9" s="6" t="s">
        <v>22</v>
      </c>
      <c r="G9" s="5">
        <f>B9*0.130987336411817</f>
        <v>486.48696743348836</v>
      </c>
      <c r="H9" s="5">
        <f>G9*0.175846876656734</f>
        <v>85.547213757385208</v>
      </c>
      <c r="I9" s="5">
        <f>B9*0.149988331127052</f>
        <v>557.05666180587116</v>
      </c>
      <c r="J9" s="5">
        <f>I9*0.311364628007705</f>
        <v>173.447740282399</v>
      </c>
      <c r="K9" s="5">
        <f>B9*0.120125302289538</f>
        <v>446.14537270334409</v>
      </c>
      <c r="L9" s="5">
        <f>K9*0.270498252857615</f>
        <v>120.68154383676405</v>
      </c>
      <c r="M9" s="5">
        <f>B9*0.0268271095261908</f>
        <v>99.635884780272633</v>
      </c>
      <c r="N9" s="5">
        <f>M9*0.230091623998065</f>
        <v>22.925382537577015</v>
      </c>
      <c r="O9" s="5">
        <f>B9*0.228960083282935</f>
        <v>850.3577493128206</v>
      </c>
      <c r="P9" s="5">
        <f>O9*0.230091623998065</f>
        <v>195.66019551872631</v>
      </c>
      <c r="Q9" s="5">
        <f>B9*0.182433198609624</f>
        <v>677.55689963614361</v>
      </c>
      <c r="R9" s="5">
        <f>Q9*0.230091623998065</f>
        <v>155.9001673883742</v>
      </c>
      <c r="S9" s="6" t="s">
        <v>22</v>
      </c>
      <c r="T9" s="6" t="s">
        <v>22</v>
      </c>
    </row>
    <row r="10" spans="1:20" ht="15" customHeight="1" x14ac:dyDescent="0.3">
      <c r="A10" s="4" t="s">
        <v>28</v>
      </c>
      <c r="B10" s="5">
        <v>2332</v>
      </c>
      <c r="C10" s="5">
        <f>B10*0.170500112399684</f>
        <v>397.60626211606308</v>
      </c>
      <c r="D10" s="5">
        <f>C10*0.228491158878838</f>
        <v>90.849515608382276</v>
      </c>
      <c r="E10" s="6" t="s">
        <v>22</v>
      </c>
      <c r="F10" s="6" t="s">
        <v>22</v>
      </c>
      <c r="G10" s="5">
        <f>B10*0.127760524437678</f>
        <v>297.93754298866509</v>
      </c>
      <c r="H10" s="5">
        <f>G10*0.269128546308213</f>
        <v>80.183497835180148</v>
      </c>
      <c r="I10" s="5">
        <f>B10*0.153106333184802</f>
        <v>357.04396898695825</v>
      </c>
      <c r="J10" s="5">
        <f>I10*0.25731556585184</f>
        <v>91.872970913865984</v>
      </c>
      <c r="K10" s="5">
        <f>B10*0.121238090214023</f>
        <v>282.72722637910164</v>
      </c>
      <c r="L10" s="5">
        <f>K10*0.317906559166286</f>
        <v>89.880839720807813</v>
      </c>
      <c r="M10" s="6" t="s">
        <v>22</v>
      </c>
      <c r="N10" s="6" t="s">
        <v>22</v>
      </c>
      <c r="O10" s="5">
        <f>B10*0.223722562764257</f>
        <v>521.72101636624734</v>
      </c>
      <c r="P10" s="5">
        <f>O10*0.269201706385017</f>
        <v>140.44818786271918</v>
      </c>
      <c r="Q10" s="5">
        <f>B10*0.203672376999556</f>
        <v>474.96398316296461</v>
      </c>
      <c r="R10" s="5">
        <f>Q10*0.269201706385017</f>
        <v>127.86111473889456</v>
      </c>
      <c r="S10" s="6" t="s">
        <v>22</v>
      </c>
      <c r="T10" s="6" t="s">
        <v>22</v>
      </c>
    </row>
    <row r="11" spans="1:20" ht="15" customHeight="1" x14ac:dyDescent="0.3">
      <c r="A11" s="4" t="s">
        <v>29</v>
      </c>
      <c r="B11" s="5">
        <v>742</v>
      </c>
      <c r="C11" s="5">
        <f>B11*0.136363636363636</f>
        <v>101.1818181818179</v>
      </c>
      <c r="D11" s="5">
        <v>18</v>
      </c>
      <c r="E11" s="6" t="s">
        <v>22</v>
      </c>
      <c r="F11" s="6" t="s">
        <v>22</v>
      </c>
      <c r="G11" s="5">
        <f>B11*0.0787878787878789</f>
        <v>58.460606060606146</v>
      </c>
      <c r="H11" s="5">
        <v>15</v>
      </c>
      <c r="I11" s="5">
        <f>B11*0.106060606060606</f>
        <v>78.696969696969646</v>
      </c>
      <c r="J11" s="5">
        <v>11</v>
      </c>
      <c r="K11" s="5">
        <f>B11*0.193939393939394</f>
        <v>143.90303030303033</v>
      </c>
      <c r="L11" s="5">
        <v>21</v>
      </c>
      <c r="M11" s="6" t="s">
        <v>22</v>
      </c>
      <c r="N11" s="6" t="s">
        <v>22</v>
      </c>
      <c r="O11" s="5">
        <f>B11*0.279880188275567</f>
        <v>207.67109970047071</v>
      </c>
      <c r="P11" s="5">
        <v>32</v>
      </c>
      <c r="Q11" s="5">
        <f>B11*0.204968296572918</f>
        <v>152.08647605710516</v>
      </c>
      <c r="R11" s="5">
        <v>21</v>
      </c>
      <c r="S11" s="6" t="s">
        <v>22</v>
      </c>
      <c r="T11" s="6" t="s">
        <v>30</v>
      </c>
    </row>
    <row r="12" spans="1:20" ht="15" customHeight="1" x14ac:dyDescent="0.3">
      <c r="A12" s="4" t="s">
        <v>31</v>
      </c>
      <c r="B12" s="5">
        <v>1949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5">
        <f>B12*0.0678046919702459</f>
        <v>132.15134465000926</v>
      </c>
      <c r="N12" s="5">
        <f>M12*0.249643299610712</f>
        <v>32.990697726420727</v>
      </c>
      <c r="O12" s="5">
        <f>B12*0.554548922372687</f>
        <v>1080.8158497043671</v>
      </c>
      <c r="P12" s="5">
        <f>O12*0.249643299610712</f>
        <v>269.81843499175358</v>
      </c>
      <c r="Q12" s="5">
        <f>B12*0.377646385657067</f>
        <v>736.03280564562351</v>
      </c>
      <c r="R12" s="5">
        <f>Q12*0.249643299610712</f>
        <v>183.74565822310333</v>
      </c>
      <c r="S12" s="6" t="s">
        <v>22</v>
      </c>
      <c r="T12" s="6" t="s">
        <v>22</v>
      </c>
    </row>
    <row r="13" spans="1:20" ht="15" customHeight="1" x14ac:dyDescent="0.3">
      <c r="A13" s="4" t="s">
        <v>32</v>
      </c>
      <c r="B13" s="5">
        <v>24746</v>
      </c>
      <c r="C13" s="5">
        <f>B13*0.161138615802574</f>
        <v>3987.5361866504959</v>
      </c>
      <c r="D13" s="5">
        <f>C13*0.110772157116686</f>
        <v>441.70798497611969</v>
      </c>
      <c r="E13" s="5">
        <f>(B13*0.172359073450716)*1.05/2</f>
        <v>2239.2287565959946</v>
      </c>
      <c r="F13" s="5">
        <f>(B13*0.172359073450716*0.0822837725102362*1.05/2)</f>
        <v>184.25218960612389</v>
      </c>
      <c r="G13" s="5">
        <f>((B13*0.172359073450716)*1.05/2)*1.05</f>
        <v>2351.1901944257943</v>
      </c>
      <c r="H13" s="5">
        <f>(B13*0.172359073450716*0.0822837725102362*1.05/2)*1.05</f>
        <v>193.46479908643011</v>
      </c>
      <c r="I13" s="5">
        <f>B13*0.16083969261044</f>
        <v>3980.1390333379486</v>
      </c>
      <c r="J13" s="5">
        <f>I13*0.121340195113227</f>
        <v>482.95084688299738</v>
      </c>
      <c r="K13" s="5">
        <f>B13*0.157907507663261</f>
        <v>3907.5791846350567</v>
      </c>
      <c r="L13" s="5">
        <f>K13*0.107413527410562</f>
        <v>419.72686385773915</v>
      </c>
      <c r="M13" s="5">
        <f>B13*0.0228386565596962</f>
        <v>565.16539522624225</v>
      </c>
      <c r="N13" s="5">
        <f>M13*0.153009581170898</f>
        <v>86.475720415852365</v>
      </c>
      <c r="O13" s="5">
        <f>B13*0.162413224677721</f>
        <v>4019.0776578748842</v>
      </c>
      <c r="P13" s="5">
        <f>O13*0.153009581170898</f>
        <v>614.95738912474974</v>
      </c>
      <c r="Q13" s="5">
        <f>B13*0.138877032794527</f>
        <v>3436.6510535333655</v>
      </c>
      <c r="R13" s="5">
        <f>Q13*0.153009581170898</f>
        <v>525.84053833166558</v>
      </c>
      <c r="S13" s="5">
        <f>B13*0.023626196441065</f>
        <v>584.65385713059447</v>
      </c>
      <c r="T13" s="5">
        <f>S13*0.153009581170898</f>
        <v>89.457641809502292</v>
      </c>
    </row>
    <row r="14" spans="1:20" ht="15" customHeight="1" x14ac:dyDescent="0.3">
      <c r="A14" s="4" t="s">
        <v>33</v>
      </c>
      <c r="B14" s="5">
        <v>3428</v>
      </c>
      <c r="C14" s="5">
        <f>B14*0.20613810741688</f>
        <v>706.64143222506459</v>
      </c>
      <c r="D14" s="5">
        <v>102</v>
      </c>
      <c r="E14" s="6" t="s">
        <v>22</v>
      </c>
      <c r="F14" s="6" t="s">
        <v>22</v>
      </c>
      <c r="G14" s="5">
        <f>B14*0.18</f>
        <v>617.04</v>
      </c>
      <c r="H14" s="5">
        <v>99</v>
      </c>
      <c r="I14" s="5">
        <f>B14*0.190434782608696</f>
        <v>652.81043478260995</v>
      </c>
      <c r="J14" s="5">
        <v>91</v>
      </c>
      <c r="K14" s="5">
        <f>B14*0.171867007672634</f>
        <v>589.16010230178938</v>
      </c>
      <c r="L14" s="5">
        <v>85</v>
      </c>
      <c r="M14" s="6" t="s">
        <v>22</v>
      </c>
      <c r="N14" s="6" t="s">
        <v>22</v>
      </c>
      <c r="O14" s="5">
        <f>B14*0.135203178245458+100</f>
        <v>563.47649502543004</v>
      </c>
      <c r="P14" s="5">
        <v>125</v>
      </c>
      <c r="Q14" s="5">
        <f>B14*0.116356924056333+100</f>
        <v>498.87153566510949</v>
      </c>
      <c r="R14" s="5">
        <v>115</v>
      </c>
      <c r="S14" s="6" t="s">
        <v>22</v>
      </c>
      <c r="T14" s="6" t="s">
        <v>30</v>
      </c>
    </row>
    <row r="15" spans="1:20" ht="15" customHeight="1" x14ac:dyDescent="0.3">
      <c r="A15" s="4" t="s">
        <v>34</v>
      </c>
      <c r="B15" s="5">
        <v>13621</v>
      </c>
      <c r="C15" s="5">
        <f>B15*0.174000702877825</f>
        <v>2370.063573898854</v>
      </c>
      <c r="D15" s="5">
        <f>C15*0.167170626349892</f>
        <v>396.20501213773497</v>
      </c>
      <c r="E15" s="6" t="s">
        <v>22</v>
      </c>
      <c r="F15" s="6" t="s">
        <v>22</v>
      </c>
      <c r="G15" s="5">
        <f>B15*0.133124484452084</f>
        <v>1813.288602721836</v>
      </c>
      <c r="H15" s="5">
        <f>G15*0.125292740046838</f>
        <v>227.19189753072109</v>
      </c>
      <c r="I15" s="5">
        <f>B15*0.127097862504699</f>
        <v>1731.1999851765052</v>
      </c>
      <c r="J15" s="5">
        <f>I15*0.22758152173913</f>
        <v>393.98912706122832</v>
      </c>
      <c r="K15" s="5">
        <f>B15*0.121280862190267</f>
        <v>1651.9666238936268</v>
      </c>
      <c r="L15" s="5">
        <f>K15*0.138255033557047</f>
        <v>228.392701021535</v>
      </c>
      <c r="M15" s="5">
        <f>B15*0.0249397085404107</f>
        <v>339.70377002893417</v>
      </c>
      <c r="N15" s="5">
        <f>M15*0.260027927299426</f>
        <v>88.332467216424618</v>
      </c>
      <c r="O15" s="5">
        <f>B15*0.214617035341774</f>
        <v>2923.2986383903039</v>
      </c>
      <c r="P15" s="5">
        <f>O15*0.260027927299426</f>
        <v>760.1392858178649</v>
      </c>
      <c r="Q15" s="5">
        <f>B15*0.174198442478999</f>
        <v>2372.7569850064451</v>
      </c>
      <c r="R15" s="5">
        <f>Q15*0.260027927299426</f>
        <v>616.98308079646108</v>
      </c>
      <c r="S15" s="5">
        <f>B15*0.030740901613941</f>
        <v>418.72182088349035</v>
      </c>
      <c r="T15" s="5">
        <f>S15*0.260027927299426</f>
        <v>108.87936719937549</v>
      </c>
    </row>
    <row r="16" spans="1:20" ht="15" customHeight="1" x14ac:dyDescent="0.3">
      <c r="A16" s="4" t="s">
        <v>35</v>
      </c>
      <c r="B16" s="5">
        <v>1814</v>
      </c>
      <c r="C16" s="5">
        <f>B16*0.178481735159817</f>
        <v>323.76586757990805</v>
      </c>
      <c r="D16" s="5">
        <f>C16*0</f>
        <v>0</v>
      </c>
      <c r="E16" s="6" t="s">
        <v>22</v>
      </c>
      <c r="F16" s="6" t="s">
        <v>22</v>
      </c>
      <c r="G16" s="5">
        <f>B16*0.163641552511416</f>
        <v>296.84577625570859</v>
      </c>
      <c r="H16" s="5">
        <f>G16*0</f>
        <v>0</v>
      </c>
      <c r="I16" s="5">
        <f>B16*0.129533068198556</f>
        <v>234.97298571218059</v>
      </c>
      <c r="J16" s="5">
        <f>I16*0</f>
        <v>0</v>
      </c>
      <c r="K16" s="5">
        <f>B16*0.13486890558256</f>
        <v>244.65219472676387</v>
      </c>
      <c r="L16" s="5">
        <f>K16*0</f>
        <v>0</v>
      </c>
      <c r="M16" s="6" t="s">
        <v>22</v>
      </c>
      <c r="N16" s="6" t="s">
        <v>22</v>
      </c>
      <c r="O16" s="5">
        <f>B16*0.240708171306526</f>
        <v>436.64462275003814</v>
      </c>
      <c r="P16" s="5">
        <f>O16*0.0819868342309994</f>
        <v>35.799110303264641</v>
      </c>
      <c r="Q16" s="5">
        <f>B16*0.152766567241125</f>
        <v>277.11855297540075</v>
      </c>
      <c r="R16" s="5">
        <f>Q16*0.0819868342309994</f>
        <v>22.720072865128603</v>
      </c>
      <c r="S16" s="6" t="s">
        <v>22</v>
      </c>
      <c r="T16" s="6" t="s">
        <v>22</v>
      </c>
    </row>
    <row r="17" spans="1:20" ht="15" customHeight="1" x14ac:dyDescent="0.3">
      <c r="A17" s="7" t="s">
        <v>36</v>
      </c>
      <c r="B17" s="8">
        <f t="shared" ref="B17:T17" si="0">SUM(B4:B16)</f>
        <v>66288</v>
      </c>
      <c r="C17" s="8">
        <f t="shared" si="0"/>
        <v>10877.84850935175</v>
      </c>
      <c r="D17" s="8">
        <f t="shared" si="0"/>
        <v>1689.7158988219749</v>
      </c>
      <c r="E17" s="8">
        <f t="shared" si="0"/>
        <v>2239.2287565959946</v>
      </c>
      <c r="F17" s="8">
        <f t="shared" si="0"/>
        <v>184.25218960612389</v>
      </c>
      <c r="G17" s="8">
        <f t="shared" si="0"/>
        <v>7881.058882531277</v>
      </c>
      <c r="H17" s="8">
        <f t="shared" si="0"/>
        <v>1024.0380865352902</v>
      </c>
      <c r="I17" s="8">
        <f t="shared" si="0"/>
        <v>9818.7228627148597</v>
      </c>
      <c r="J17" s="8">
        <f t="shared" si="0"/>
        <v>1813.9829662220193</v>
      </c>
      <c r="K17" s="8">
        <f t="shared" si="0"/>
        <v>9029.9657328547801</v>
      </c>
      <c r="L17" s="8">
        <f t="shared" si="0"/>
        <v>1372.5475597984548</v>
      </c>
      <c r="M17" s="8">
        <f t="shared" si="0"/>
        <v>1268.0514844851518</v>
      </c>
      <c r="N17" s="8">
        <f t="shared" si="0"/>
        <v>262.12799124943183</v>
      </c>
      <c r="O17" s="8">
        <f t="shared" si="0"/>
        <v>13474.313247400696</v>
      </c>
      <c r="P17" s="8">
        <f t="shared" si="0"/>
        <v>2875.1739064585381</v>
      </c>
      <c r="Q17" s="8">
        <f t="shared" si="0"/>
        <v>11016.445771822944</v>
      </c>
      <c r="R17" s="8">
        <f t="shared" si="0"/>
        <v>2351.3737392698822</v>
      </c>
      <c r="S17" s="8">
        <f t="shared" si="0"/>
        <v>1207.5860716529189</v>
      </c>
      <c r="T17" s="8">
        <f t="shared" si="0"/>
        <v>247.1437545078881</v>
      </c>
    </row>
    <row r="19" spans="1:20" ht="15" customHeight="1" x14ac:dyDescent="0.3">
      <c r="A19" s="9" t="s">
        <v>37</v>
      </c>
    </row>
    <row r="20" spans="1:20" ht="15" customHeight="1" x14ac:dyDescent="0.3">
      <c r="A20" s="10" t="s">
        <v>38</v>
      </c>
    </row>
    <row r="21" spans="1:20" ht="15" customHeight="1" x14ac:dyDescent="0.3">
      <c r="A21" s="10" t="s">
        <v>39</v>
      </c>
    </row>
    <row r="22" spans="1:20" ht="15" customHeight="1" x14ac:dyDescent="0.3">
      <c r="A22" s="10" t="s">
        <v>40</v>
      </c>
    </row>
    <row r="23" spans="1:20" ht="15" customHeight="1" x14ac:dyDescent="0.3">
      <c r="A23" s="10" t="s">
        <v>41</v>
      </c>
    </row>
    <row r="24" spans="1:20" ht="15" customHeight="1" x14ac:dyDescent="0.3">
      <c r="A24" s="10" t="s">
        <v>42</v>
      </c>
    </row>
    <row r="25" spans="1:20" ht="15" customHeight="1" x14ac:dyDescent="0.3">
      <c r="A25" s="10" t="s">
        <v>43</v>
      </c>
    </row>
    <row r="26" spans="1:20" ht="15" customHeight="1" x14ac:dyDescent="0.3">
      <c r="A26" s="10" t="s">
        <v>44</v>
      </c>
    </row>
    <row r="27" spans="1:20" ht="15" customHeight="1" x14ac:dyDescent="0.3">
      <c r="A27" s="10" t="s">
        <v>45</v>
      </c>
    </row>
  </sheetData>
  <mergeCells count="1">
    <mergeCell ref="A1:T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Campus Day 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Aaron Mobley</cp:lastModifiedBy>
  <cp:revision>0</cp:revision>
  <dcterms:created xsi:type="dcterms:W3CDTF">2026-08-21T14:53:16Z</dcterms:created>
  <dcterms:modified xsi:type="dcterms:W3CDTF">2026-08-21T15:17:20Z</dcterms:modified>
  <dc:language>en-US</dc:language>
</cp:coreProperties>
</file>