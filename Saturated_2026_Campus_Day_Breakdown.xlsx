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aron.Mobley\Desktop\"/>
    </mc:Choice>
  </mc:AlternateContent>
  <xr:revisionPtr revIDLastSave="0" documentId="8_{3C61AF23-5821-426B-BD7B-5065C3D7BD0B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Campus Day Breakdow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1" l="1"/>
  <c r="O16" i="1"/>
  <c r="P16" i="1" s="1"/>
  <c r="M16" i="1"/>
  <c r="N16" i="1" s="1"/>
  <c r="I16" i="1"/>
  <c r="J16" i="1" s="1"/>
  <c r="G16" i="1"/>
  <c r="H16" i="1" s="1"/>
  <c r="E16" i="1"/>
  <c r="F16" i="1" s="1"/>
  <c r="C16" i="1"/>
  <c r="D16" i="1" s="1"/>
  <c r="Q15" i="1"/>
  <c r="R15" i="1" s="1"/>
  <c r="O15" i="1"/>
  <c r="P15" i="1" s="1"/>
  <c r="M15" i="1"/>
  <c r="N15" i="1" s="1"/>
  <c r="K15" i="1"/>
  <c r="L15" i="1" s="1"/>
  <c r="I15" i="1"/>
  <c r="J15" i="1" s="1"/>
  <c r="G15" i="1"/>
  <c r="H15" i="1" s="1"/>
  <c r="E15" i="1"/>
  <c r="F15" i="1" s="1"/>
  <c r="C15" i="1"/>
  <c r="D15" i="1" s="1"/>
  <c r="O14" i="1"/>
  <c r="M14" i="1"/>
  <c r="I14" i="1"/>
  <c r="G14" i="1"/>
  <c r="E14" i="1"/>
  <c r="C14" i="1"/>
  <c r="Q13" i="1"/>
  <c r="R13" i="1" s="1"/>
  <c r="O13" i="1"/>
  <c r="P13" i="1" s="1"/>
  <c r="M13" i="1"/>
  <c r="N13" i="1" s="1"/>
  <c r="K13" i="1"/>
  <c r="L13" i="1" s="1"/>
  <c r="I13" i="1"/>
  <c r="J13" i="1" s="1"/>
  <c r="G13" i="1"/>
  <c r="H13" i="1" s="1"/>
  <c r="E13" i="1"/>
  <c r="F13" i="1" s="1"/>
  <c r="C13" i="1"/>
  <c r="D13" i="1" s="1"/>
  <c r="O12" i="1"/>
  <c r="P12" i="1" s="1"/>
  <c r="M12" i="1"/>
  <c r="N12" i="1" s="1"/>
  <c r="K12" i="1"/>
  <c r="L12" i="1" s="1"/>
  <c r="O11" i="1"/>
  <c r="M11" i="1"/>
  <c r="I11" i="1"/>
  <c r="G11" i="1"/>
  <c r="E11" i="1"/>
  <c r="C11" i="1"/>
  <c r="O10" i="1"/>
  <c r="P10" i="1" s="1"/>
  <c r="M10" i="1"/>
  <c r="N10" i="1" s="1"/>
  <c r="J10" i="1"/>
  <c r="I10" i="1"/>
  <c r="G10" i="1"/>
  <c r="H10" i="1" s="1"/>
  <c r="E10" i="1"/>
  <c r="F10" i="1" s="1"/>
  <c r="C10" i="1"/>
  <c r="D10" i="1" s="1"/>
  <c r="O9" i="1"/>
  <c r="P9" i="1" s="1"/>
  <c r="M9" i="1"/>
  <c r="N9" i="1" s="1"/>
  <c r="K9" i="1"/>
  <c r="L9" i="1" s="1"/>
  <c r="I9" i="1"/>
  <c r="J9" i="1" s="1"/>
  <c r="G9" i="1"/>
  <c r="H9" i="1" s="1"/>
  <c r="E9" i="1"/>
  <c r="F9" i="1" s="1"/>
  <c r="C9" i="1"/>
  <c r="D9" i="1" s="1"/>
  <c r="O8" i="1"/>
  <c r="P8" i="1" s="1"/>
  <c r="M8" i="1"/>
  <c r="N8" i="1" s="1"/>
  <c r="I8" i="1"/>
  <c r="J8" i="1" s="1"/>
  <c r="G8" i="1"/>
  <c r="H8" i="1" s="1"/>
  <c r="E8" i="1"/>
  <c r="F8" i="1" s="1"/>
  <c r="C8" i="1"/>
  <c r="D8" i="1" s="1"/>
  <c r="O7" i="1"/>
  <c r="P7" i="1" s="1"/>
  <c r="M7" i="1"/>
  <c r="N7" i="1" s="1"/>
  <c r="I7" i="1"/>
  <c r="J7" i="1" s="1"/>
  <c r="G7" i="1"/>
  <c r="H7" i="1" s="1"/>
  <c r="F7" i="1"/>
  <c r="E7" i="1"/>
  <c r="C7" i="1"/>
  <c r="D7" i="1" s="1"/>
  <c r="Q6" i="1"/>
  <c r="O6" i="1"/>
  <c r="P6" i="1" s="1"/>
  <c r="M6" i="1"/>
  <c r="N6" i="1" s="1"/>
  <c r="K6" i="1"/>
  <c r="I6" i="1"/>
  <c r="J6" i="1" s="1"/>
  <c r="G6" i="1"/>
  <c r="H6" i="1" s="1"/>
  <c r="E6" i="1"/>
  <c r="F6" i="1" s="1"/>
  <c r="C6" i="1"/>
  <c r="D6" i="1" s="1"/>
  <c r="O5" i="1"/>
  <c r="P5" i="1" s="1"/>
  <c r="M5" i="1"/>
  <c r="N5" i="1" s="1"/>
  <c r="I5" i="1"/>
  <c r="J5" i="1" s="1"/>
  <c r="H5" i="1"/>
  <c r="G5" i="1"/>
  <c r="F5" i="1"/>
  <c r="E5" i="1"/>
  <c r="C5" i="1"/>
  <c r="D5" i="1" s="1"/>
  <c r="O4" i="1"/>
  <c r="M4" i="1"/>
  <c r="I4" i="1"/>
  <c r="G4" i="1"/>
  <c r="E4" i="1"/>
  <c r="C4" i="1"/>
  <c r="Q17" i="1" l="1"/>
  <c r="R6" i="1"/>
  <c r="R17" i="1" s="1"/>
  <c r="L6" i="1"/>
  <c r="L17" i="1" s="1"/>
  <c r="K17" i="1"/>
  <c r="O17" i="1"/>
  <c r="P4" i="1"/>
  <c r="P17" i="1" s="1"/>
  <c r="M17" i="1"/>
  <c r="N4" i="1"/>
  <c r="N17" i="1" s="1"/>
  <c r="I17" i="1"/>
  <c r="J4" i="1"/>
  <c r="J17" i="1" s="1"/>
  <c r="G17" i="1"/>
  <c r="H4" i="1"/>
  <c r="H17" i="1" s="1"/>
  <c r="E17" i="1"/>
  <c r="F4" i="1"/>
  <c r="F17" i="1" s="1"/>
  <c r="D4" i="1"/>
  <c r="D17" i="1" s="1"/>
  <c r="C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2" authorId="0" shapeId="0" xr:uid="{00000000-0006-0000-0000-000001000000}">
      <text>
        <r>
          <rPr>
            <sz val="10"/>
            <rFont val="Arial"/>
            <family val="2"/>
          </rPr>
          <t>Source data has no Wed/Thu/Fri/Sat attendance for Ponte Vedra across all 3 historical years (all NA) - only Sunday. Full total lands on Sunday.</t>
        </r>
      </text>
    </comment>
  </commentList>
</comments>
</file>

<file path=xl/sharedStrings.xml><?xml version="1.0" encoding="utf-8"?>
<sst xmlns="http://schemas.openxmlformats.org/spreadsheetml/2006/main" count="77" uniqueCount="35">
  <si>
    <t>Saturated Event — Campus Day Breakdown (2026 Projected Counts, with Kids Split)</t>
  </si>
  <si>
    <t>Campus</t>
  </si>
  <si>
    <t>Total</t>
  </si>
  <si>
    <t>Wednesday 6:22</t>
  </si>
  <si>
    <t>Wednesday 6:22 Kids</t>
  </si>
  <si>
    <t>Thursday 7:22</t>
  </si>
  <si>
    <t>Thursday 7:22 Kids</t>
  </si>
  <si>
    <t>Friday 6:22</t>
  </si>
  <si>
    <t>Friday 6:22 Kids</t>
  </si>
  <si>
    <t>Saturday 6:22</t>
  </si>
  <si>
    <t>Saturday 6:22 Kids</t>
  </si>
  <si>
    <t>Sunday 7:22 AM</t>
  </si>
  <si>
    <t>Sunday 7:22 AM Kids</t>
  </si>
  <si>
    <t>Sunday 9:22 AM</t>
  </si>
  <si>
    <t>Sunday 9:22 AM Kids</t>
  </si>
  <si>
    <t>Sunday 11:22 AM</t>
  </si>
  <si>
    <t>Sunday 11:22 AM Kids</t>
  </si>
  <si>
    <t>Sunday 4:22 PM</t>
  </si>
  <si>
    <t>Sunday 4:22 PM Kids</t>
  </si>
  <si>
    <t>Arlington</t>
  </si>
  <si>
    <t>N/A</t>
  </si>
  <si>
    <t>Baymeadows</t>
  </si>
  <si>
    <t>Fleming Island</t>
  </si>
  <si>
    <t>Jesup</t>
  </si>
  <si>
    <t>Mandarin</t>
  </si>
  <si>
    <t>North Jax</t>
  </si>
  <si>
    <t>Orange Park</t>
  </si>
  <si>
    <t>Palatka</t>
  </si>
  <si>
    <t>TBD</t>
  </si>
  <si>
    <t>Ponte Vedra</t>
  </si>
  <si>
    <t>San Pablo</t>
  </si>
  <si>
    <t>St. Augustine</t>
  </si>
  <si>
    <t>St. Johns</t>
  </si>
  <si>
    <t>Wildlight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</si>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</sst>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color rgb="FFA6A6A6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AD47"/>
        <bgColor rgb="FF99CC0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70AD47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9" sqref="A19"/>
    </sheetView>
  </sheetViews>
  <sheetFormatPr defaultColWidth="8.6640625" defaultRowHeight="14.4" x14ac:dyDescent="0.3"/>
  <cols>
    <col min="1" max="1" width="16" customWidth="1"/>
    <col min="2" max="2" width="7.109375" customWidth="1"/>
    <col min="3" max="18" width="14" customWidth="1"/>
  </cols>
  <sheetData>
    <row r="1" spans="1:18" ht="17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18" x14ac:dyDescent="0.3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3" t="s">
        <v>6</v>
      </c>
      <c r="G3" s="2" t="s">
        <v>7</v>
      </c>
      <c r="H3" s="3" t="s">
        <v>8</v>
      </c>
      <c r="I3" s="2" t="s">
        <v>9</v>
      </c>
      <c r="J3" s="3" t="s">
        <v>10</v>
      </c>
      <c r="K3" s="2" t="s">
        <v>11</v>
      </c>
      <c r="L3" s="3" t="s">
        <v>12</v>
      </c>
      <c r="M3" s="2" t="s">
        <v>13</v>
      </c>
      <c r="N3" s="3" t="s">
        <v>14</v>
      </c>
      <c r="O3" s="2" t="s">
        <v>15</v>
      </c>
      <c r="P3" s="3" t="s">
        <v>16</v>
      </c>
      <c r="Q3" s="2" t="s">
        <v>17</v>
      </c>
      <c r="R3" s="3" t="s">
        <v>18</v>
      </c>
    </row>
    <row r="4" spans="1:18" x14ac:dyDescent="0.3">
      <c r="A4" s="4" t="s">
        <v>19</v>
      </c>
      <c r="B4" s="5">
        <v>2652</v>
      </c>
      <c r="C4" s="5">
        <f>B4*0.165194760749667</f>
        <v>438.09650550811688</v>
      </c>
      <c r="D4" s="5">
        <f>C4*0.181255828382724</f>
        <v>79.407545017450332</v>
      </c>
      <c r="E4" s="5">
        <f>B4*0.125660677938892</f>
        <v>333.25211789394154</v>
      </c>
      <c r="F4" s="5">
        <f>E4*0.137997197128836</f>
        <v>45.987858206612351</v>
      </c>
      <c r="G4" s="5">
        <f>B4*0.165020392776645</f>
        <v>437.63408164366251</v>
      </c>
      <c r="H4" s="5">
        <f>G4*0.202018706681919</f>
        <v>88.410271173582061</v>
      </c>
      <c r="I4" s="5">
        <f>B4*0.109709027833619</f>
        <v>290.94834181475755</v>
      </c>
      <c r="J4" s="5">
        <f>I4*0.213532567049808</f>
        <v>62.12694630659017</v>
      </c>
      <c r="K4" s="6" t="s">
        <v>20</v>
      </c>
      <c r="L4" s="6" t="s">
        <v>20</v>
      </c>
      <c r="M4" s="5">
        <f>B4*0.244355691069816</f>
        <v>648.03129271715204</v>
      </c>
      <c r="N4" s="5">
        <f>M4*0.208183353867171</f>
        <v>134.90932792873514</v>
      </c>
      <c r="O4" s="5">
        <f>B4*0.190059449631361</f>
        <v>504.03766042236941</v>
      </c>
      <c r="P4" s="5">
        <f>O4*0.208183353867171</f>
        <v>104.9322506220911</v>
      </c>
      <c r="Q4" s="6" t="s">
        <v>20</v>
      </c>
      <c r="R4" s="6" t="s">
        <v>20</v>
      </c>
    </row>
    <row r="5" spans="1:18" x14ac:dyDescent="0.3">
      <c r="A5" s="4" t="s">
        <v>21</v>
      </c>
      <c r="B5" s="5">
        <v>1598</v>
      </c>
      <c r="C5" s="5">
        <f>B5*0.170281611569194</f>
        <v>272.11001528757203</v>
      </c>
      <c r="D5" s="5">
        <f>C5*0.143150709725434</f>
        <v>38.952741811814633</v>
      </c>
      <c r="E5" s="5">
        <f>B5*0.142560819500538</f>
        <v>227.81218956185973</v>
      </c>
      <c r="F5" s="5">
        <f>E5*0.11086592543046</f>
        <v>25.25660922011496</v>
      </c>
      <c r="G5" s="5">
        <f>B5*0.165714040738286</f>
        <v>264.811037099781</v>
      </c>
      <c r="H5" s="5">
        <f>G5*0.143129165201965</f>
        <v>37.902182676358237</v>
      </c>
      <c r="I5" s="5">
        <f>B5*0.120660291933985</f>
        <v>192.81514651050804</v>
      </c>
      <c r="J5" s="5">
        <f>I5*0.128593272171254</f>
        <v>24.794730613965974</v>
      </c>
      <c r="K5" s="6" t="s">
        <v>20</v>
      </c>
      <c r="L5" s="6" t="s">
        <v>20</v>
      </c>
      <c r="M5" s="5">
        <f>B5*0.228900540513003</f>
        <v>365.78306373977875</v>
      </c>
      <c r="N5" s="5">
        <f>M5*0.15957758914832</f>
        <v>58.370779462880158</v>
      </c>
      <c r="O5" s="5">
        <f>B5*0.171882695744994</f>
        <v>274.66854780050045</v>
      </c>
      <c r="P5" s="5">
        <f>O5*0.15957758914832</f>
        <v>43.830944672873947</v>
      </c>
      <c r="Q5" s="6" t="s">
        <v>20</v>
      </c>
      <c r="R5" s="6" t="s">
        <v>20</v>
      </c>
    </row>
    <row r="6" spans="1:18" x14ac:dyDescent="0.3">
      <c r="A6" s="4" t="s">
        <v>22</v>
      </c>
      <c r="B6" s="5">
        <v>5549</v>
      </c>
      <c r="C6" s="5">
        <f>B6*0.162886760547488</f>
        <v>903.85863427801087</v>
      </c>
      <c r="D6" s="5">
        <f>C6*0.162270402444295</f>
        <v>146.66950433704366</v>
      </c>
      <c r="E6" s="5">
        <f>B6*0.150077490532205</f>
        <v>832.77999496320558</v>
      </c>
      <c r="F6" s="5">
        <f>E6*0.122445534495511</f>
        <v>101.97019160043867</v>
      </c>
      <c r="G6" s="5">
        <f>B6*0.140803984272121</f>
        <v>781.32130872599953</v>
      </c>
      <c r="H6" s="5">
        <f>G6*0.197155173151285</f>
        <v>154.04153790866303</v>
      </c>
      <c r="I6" s="5">
        <f>B6*0.11160868137295</f>
        <v>619.31657293849958</v>
      </c>
      <c r="J6" s="5">
        <f>I6*0.168106658721883</f>
        <v>104.1112397677785</v>
      </c>
      <c r="K6" s="5">
        <f>B6*0.0236790574517379</f>
        <v>131.39508979969361</v>
      </c>
      <c r="L6" s="5">
        <f>K6*0.192898969869469</f>
        <v>25.345977468267272</v>
      </c>
      <c r="M6" s="5">
        <f>B6*0.186708119351</f>
        <v>1036.0433542786991</v>
      </c>
      <c r="N6" s="5">
        <f>M6*0.192898969869469</f>
        <v>199.85169578047038</v>
      </c>
      <c r="O6" s="5">
        <f>B6*0.187434610087774</f>
        <v>1040.074651377058</v>
      </c>
      <c r="P6" s="5">
        <f>O6*0.192898969869469</f>
        <v>200.62932883798157</v>
      </c>
      <c r="Q6" s="5">
        <f>B6*0.0368012963847241</f>
        <v>204.21039363883401</v>
      </c>
      <c r="R6" s="5">
        <f>Q6*0.192898969869469</f>
        <v>39.391974569569847</v>
      </c>
    </row>
    <row r="7" spans="1:18" x14ac:dyDescent="0.3">
      <c r="A7" s="4" t="s">
        <v>23</v>
      </c>
      <c r="B7" s="5">
        <v>1325</v>
      </c>
      <c r="C7" s="5">
        <f>B7*0.180629838584985</f>
        <v>239.3345361251051</v>
      </c>
      <c r="D7" s="5">
        <f>C7*0.196635684859238</f>
        <v>47.061710421428074</v>
      </c>
      <c r="E7" s="5">
        <f>B7*0.156079366708595</f>
        <v>206.80516088888839</v>
      </c>
      <c r="F7" s="5">
        <f>E7*0.225970098043071</f>
        <v>46.731782481875186</v>
      </c>
      <c r="G7" s="5">
        <f>B7*0.197282644234621</f>
        <v>261.39950361087284</v>
      </c>
      <c r="H7" s="5">
        <f>G7*0.248038147346024</f>
        <v>64.837048592811215</v>
      </c>
      <c r="I7" s="5">
        <f>B7*0.149720730920334</f>
        <v>198.37996846944256</v>
      </c>
      <c r="J7" s="5">
        <f>I7*0.247248022015824</f>
        <v>49.049054811631201</v>
      </c>
      <c r="K7" s="6" t="s">
        <v>20</v>
      </c>
      <c r="L7" s="6" t="s">
        <v>20</v>
      </c>
      <c r="M7" s="5">
        <f>B7*0.191701873898078</f>
        <v>254.00498291495333</v>
      </c>
      <c r="N7" s="5">
        <f>M7*0.19873217443109</f>
        <v>50.478962571020546</v>
      </c>
      <c r="O7" s="5">
        <f>B7*0.124585545653387</f>
        <v>165.07584799073777</v>
      </c>
      <c r="P7" s="5">
        <f>O7*0.19873217443109</f>
        <v>32.805882217255395</v>
      </c>
      <c r="Q7" s="6" t="s">
        <v>20</v>
      </c>
      <c r="R7" s="6" t="s">
        <v>20</v>
      </c>
    </row>
    <row r="8" spans="1:18" x14ac:dyDescent="0.3">
      <c r="A8" s="4" t="s">
        <v>24</v>
      </c>
      <c r="B8" s="5">
        <v>2818</v>
      </c>
      <c r="C8" s="5">
        <f>B8*0.191942233205353</f>
        <v>540.8932131726848</v>
      </c>
      <c r="D8" s="5">
        <f>C8*0.187903163043702</f>
        <v>101.63554562401885</v>
      </c>
      <c r="E8" s="5">
        <f>B8*0.127451997635658</f>
        <v>359.15972933728426</v>
      </c>
      <c r="F8" s="5">
        <f>E8*0.153886554621849</f>
        <v>55.269853306630495</v>
      </c>
      <c r="G8" s="5">
        <f>B8*0.170914440076473</f>
        <v>481.63689213550089</v>
      </c>
      <c r="H8" s="5">
        <f>G8*0.220954858412952</f>
        <v>106.42001130825383</v>
      </c>
      <c r="I8" s="5">
        <f>B8*0.164078058260773</f>
        <v>462.37196817885837</v>
      </c>
      <c r="J8" s="5">
        <f>I8*0.192334543902971</f>
        <v>88.930101613199739</v>
      </c>
      <c r="K8" s="6" t="s">
        <v>20</v>
      </c>
      <c r="L8" s="6" t="s">
        <v>20</v>
      </c>
      <c r="M8" s="5">
        <f>B8*0.201344011577555</f>
        <v>567.38742462555001</v>
      </c>
      <c r="N8" s="5">
        <f>M8*0.210085379913947</f>
        <v>119.19980266085463</v>
      </c>
      <c r="O8" s="5">
        <f>B8*0.144269259244188</f>
        <v>406.55077255012174</v>
      </c>
      <c r="P8" s="5">
        <f>O8*0.210085379913947</f>
        <v>85.410373505500971</v>
      </c>
      <c r="Q8" s="6" t="s">
        <v>20</v>
      </c>
      <c r="R8" s="6" t="s">
        <v>20</v>
      </c>
    </row>
    <row r="9" spans="1:18" x14ac:dyDescent="0.3">
      <c r="A9" s="4" t="s">
        <v>25</v>
      </c>
      <c r="B9" s="5">
        <v>3714</v>
      </c>
      <c r="C9" s="5">
        <f>B9*0.160678638752842</f>
        <v>596.76046432805515</v>
      </c>
      <c r="D9" s="5">
        <f>C9*0.189683834529032</f>
        <v>113.19581316907112</v>
      </c>
      <c r="E9" s="5">
        <f>B9*0.130987336411817</f>
        <v>486.48696743348836</v>
      </c>
      <c r="F9" s="5">
        <f>E9*0.149549129353234</f>
        <v>72.753702421373291</v>
      </c>
      <c r="G9" s="5">
        <f>B9*0.149988331127052</f>
        <v>557.05666180587116</v>
      </c>
      <c r="H9" s="5">
        <f>G9*0.237435585311422</f>
        <v>132.26507454750387</v>
      </c>
      <c r="I9" s="5">
        <f>B9*0.120125302289538</f>
        <v>446.14537270334409</v>
      </c>
      <c r="J9" s="5">
        <f>I9*0.212907221437895</f>
        <v>94.987571659643081</v>
      </c>
      <c r="K9" s="5">
        <f>B9*0.0268271095261908</f>
        <v>99.635884780272633</v>
      </c>
      <c r="L9" s="5">
        <f>K9*0.187052427241328</f>
        <v>18.637134088487286</v>
      </c>
      <c r="M9" s="5">
        <f>B9*0.228960083282935</f>
        <v>850.3577493128206</v>
      </c>
      <c r="N9" s="5">
        <f>M9*0.187052427241328</f>
        <v>159.06148103243581</v>
      </c>
      <c r="O9" s="5">
        <f>B9*0.182433198609624</f>
        <v>677.55689963614361</v>
      </c>
      <c r="P9" s="5">
        <f>O9*0.187052427241328</f>
        <v>126.73866267104954</v>
      </c>
      <c r="Q9" s="6" t="s">
        <v>20</v>
      </c>
      <c r="R9" s="6" t="s">
        <v>20</v>
      </c>
    </row>
    <row r="10" spans="1:18" x14ac:dyDescent="0.3">
      <c r="A10" s="4" t="s">
        <v>26</v>
      </c>
      <c r="B10" s="5">
        <v>2332</v>
      </c>
      <c r="C10" s="5">
        <f>B10*0.170500112399684</f>
        <v>397.60626211606308</v>
      </c>
      <c r="D10" s="5">
        <f>C10*0.185993327853793</f>
        <v>73.95211186647407</v>
      </c>
      <c r="E10" s="5">
        <f>B10*0.127760524437678</f>
        <v>297.93754298866509</v>
      </c>
      <c r="F10" s="5">
        <f>E10*0.212057751825916</f>
        <v>63.179965550713518</v>
      </c>
      <c r="G10" s="5">
        <f>B10*0.153106333184802</f>
        <v>357.04396898695825</v>
      </c>
      <c r="H10" s="5">
        <f>G10*0.204654720613044</f>
        <v>73.07073371959828</v>
      </c>
      <c r="I10" s="5">
        <f>B10*0.121238090214023</f>
        <v>282.72722637910164</v>
      </c>
      <c r="J10" s="5">
        <f>I10*0.241220864222267</f>
        <v>68.199705886331415</v>
      </c>
      <c r="K10" s="6" t="s">
        <v>20</v>
      </c>
      <c r="L10" s="6" t="s">
        <v>20</v>
      </c>
      <c r="M10" s="5">
        <f>B10*0.223722562764257</f>
        <v>521.72101636624734</v>
      </c>
      <c r="N10" s="5">
        <f>M10*0.212103170859868</f>
        <v>110.65868187551415</v>
      </c>
      <c r="O10" s="5">
        <f>B10*0.203672376999556</f>
        <v>474.96398316296461</v>
      </c>
      <c r="P10" s="5">
        <f>O10*0.212103170859868</f>
        <v>100.74136687309775</v>
      </c>
      <c r="Q10" s="6" t="s">
        <v>20</v>
      </c>
      <c r="R10" s="6" t="s">
        <v>20</v>
      </c>
    </row>
    <row r="11" spans="1:18" x14ac:dyDescent="0.3">
      <c r="A11" s="4" t="s">
        <v>27</v>
      </c>
      <c r="B11" s="5">
        <v>742</v>
      </c>
      <c r="C11" s="5">
        <f>B11*0.136363636363636</f>
        <v>101.1818181818179</v>
      </c>
      <c r="D11" s="7">
        <v>18</v>
      </c>
      <c r="E11" s="5">
        <f>B11*0.0787878787878789</f>
        <v>58.460606060606146</v>
      </c>
      <c r="F11" s="7">
        <v>15</v>
      </c>
      <c r="G11" s="5">
        <f>B11*0.106060606060606</f>
        <v>78.696969696969646</v>
      </c>
      <c r="H11" s="7">
        <v>11</v>
      </c>
      <c r="I11" s="5">
        <f>B11*0.193939393939394</f>
        <v>143.90303030303033</v>
      </c>
      <c r="J11" s="7">
        <v>21</v>
      </c>
      <c r="K11" s="6" t="s">
        <v>20</v>
      </c>
      <c r="L11" s="7" t="s">
        <v>20</v>
      </c>
      <c r="M11" s="5">
        <f>B11*0.279880188275567</f>
        <v>207.67109970047071</v>
      </c>
      <c r="N11" s="7">
        <v>32</v>
      </c>
      <c r="O11" s="5">
        <f>B11*0.204968296572918</f>
        <v>152.08647605710516</v>
      </c>
      <c r="P11" s="7">
        <v>21</v>
      </c>
      <c r="Q11" s="6" t="s">
        <v>20</v>
      </c>
      <c r="R11" s="7" t="s">
        <v>28</v>
      </c>
    </row>
    <row r="12" spans="1:18" x14ac:dyDescent="0.3">
      <c r="A12" s="4" t="s">
        <v>29</v>
      </c>
      <c r="B12" s="5">
        <v>1949</v>
      </c>
      <c r="C12" s="8" t="s">
        <v>20</v>
      </c>
      <c r="D12" s="6" t="s">
        <v>20</v>
      </c>
      <c r="E12" s="8" t="s">
        <v>20</v>
      </c>
      <c r="F12" s="6" t="s">
        <v>20</v>
      </c>
      <c r="G12" s="8" t="s">
        <v>20</v>
      </c>
      <c r="H12" s="6" t="s">
        <v>20</v>
      </c>
      <c r="I12" s="8" t="s">
        <v>20</v>
      </c>
      <c r="J12" s="6" t="s">
        <v>20</v>
      </c>
      <c r="K12" s="5">
        <f>B12*0.0678046919702459</f>
        <v>132.15134465000926</v>
      </c>
      <c r="L12" s="5">
        <f>K12*0.199771646587855</f>
        <v>26.400091719531474</v>
      </c>
      <c r="M12" s="5">
        <f>B12*0.554548922372687</f>
        <v>1080.8158497043671</v>
      </c>
      <c r="N12" s="5">
        <f>M12*0.199771646587855</f>
        <v>215.91636195369304</v>
      </c>
      <c r="O12" s="5">
        <f>B12*0.377646385657067</f>
        <v>736.03280564562351</v>
      </c>
      <c r="P12" s="5">
        <f>O12*0.199771646587855</f>
        <v>147.03848552650487</v>
      </c>
      <c r="Q12" s="6" t="s">
        <v>20</v>
      </c>
      <c r="R12" s="6" t="s">
        <v>20</v>
      </c>
    </row>
    <row r="13" spans="1:18" x14ac:dyDescent="0.3">
      <c r="A13" s="4" t="s">
        <v>30</v>
      </c>
      <c r="B13" s="5">
        <v>24746</v>
      </c>
      <c r="C13" s="5">
        <f>B13*0.161138615802574</f>
        <v>3987.5361866504959</v>
      </c>
      <c r="D13" s="5">
        <f>C13*0.0760279093156762</f>
        <v>303.1640395916412</v>
      </c>
      <c r="E13" s="5">
        <f>B13*0.172359073450716</f>
        <v>4265.1976316114178</v>
      </c>
      <c r="F13" s="5">
        <f>E13*0.0997253634842861</f>
        <v>425.34838414476479</v>
      </c>
      <c r="G13" s="5">
        <f>B13*0.16083969261044</f>
        <v>3980.1390333379486</v>
      </c>
      <c r="H13" s="5">
        <f>G13*0.108209975564975</f>
        <v>430.69074754270264</v>
      </c>
      <c r="I13" s="5">
        <f>B13*0.157907507663261</f>
        <v>3907.5791846350567</v>
      </c>
      <c r="J13" s="5">
        <f>I13*0.0969949569441544</f>
        <v>379.0154747695513</v>
      </c>
      <c r="K13" s="5">
        <f>B13*0.0228386565596962</f>
        <v>565.16539522624225</v>
      </c>
      <c r="L13" s="5">
        <f>K13*0.132704518392219</f>
        <v>75.000001585446583</v>
      </c>
      <c r="M13" s="5">
        <f>B13*0.162413224677721</f>
        <v>4019.0776578748842</v>
      </c>
      <c r="N13" s="5">
        <f>M13*0.132704518392219</f>
        <v>533.34976496921399</v>
      </c>
      <c r="O13" s="5">
        <f>B13*0.138877032794527</f>
        <v>3436.6510535333655</v>
      </c>
      <c r="P13" s="5">
        <f>O13*0.132704518392219</f>
        <v>456.05912294125733</v>
      </c>
      <c r="Q13" s="5">
        <f>B13*0.023626196441065</f>
        <v>584.65385713059447</v>
      </c>
      <c r="R13" s="5">
        <f>Q13*0.132704518392219</f>
        <v>77.58620853666875</v>
      </c>
    </row>
    <row r="14" spans="1:18" x14ac:dyDescent="0.3">
      <c r="A14" s="4" t="s">
        <v>31</v>
      </c>
      <c r="B14" s="5">
        <v>3428</v>
      </c>
      <c r="C14" s="5">
        <f>B14*0.20613810741688</f>
        <v>706.64143222506459</v>
      </c>
      <c r="D14" s="7">
        <v>102</v>
      </c>
      <c r="E14" s="5">
        <f>B14*0.18</f>
        <v>617.04</v>
      </c>
      <c r="F14" s="7">
        <v>99</v>
      </c>
      <c r="G14" s="5">
        <f>B14*0.190434782608696</f>
        <v>652.81043478260995</v>
      </c>
      <c r="H14" s="7">
        <v>91</v>
      </c>
      <c r="I14" s="5">
        <f>B14*0.171867007672634</f>
        <v>589.16010230178938</v>
      </c>
      <c r="J14" s="7">
        <v>85</v>
      </c>
      <c r="K14" s="6" t="s">
        <v>20</v>
      </c>
      <c r="L14" s="7" t="s">
        <v>20</v>
      </c>
      <c r="M14" s="5">
        <f>B14*0.135203178245458+100</f>
        <v>563.47649502543004</v>
      </c>
      <c r="N14" s="7">
        <v>125</v>
      </c>
      <c r="O14" s="5">
        <f>B14*0.116356924056333+100</f>
        <v>498.87153566510949</v>
      </c>
      <c r="P14" s="7">
        <v>115</v>
      </c>
      <c r="Q14" s="6" t="s">
        <v>20</v>
      </c>
      <c r="R14" s="7" t="s">
        <v>28</v>
      </c>
    </row>
    <row r="15" spans="1:18" x14ac:dyDescent="0.3">
      <c r="A15" s="4" t="s">
        <v>32</v>
      </c>
      <c r="B15" s="5">
        <v>13621</v>
      </c>
      <c r="C15" s="5">
        <f>B15*0.174000702877825</f>
        <v>2370.063573898854</v>
      </c>
      <c r="D15" s="5">
        <f>C15*0.143227239082161</f>
        <v>339.45766213873213</v>
      </c>
      <c r="E15" s="5">
        <f>B15*0.133124484452084</f>
        <v>1813.288602721836</v>
      </c>
      <c r="F15" s="5">
        <f>E15*0.111342351716961</f>
        <v>201.89581736861143</v>
      </c>
      <c r="G15" s="5">
        <f>B15*0.127097862504699</f>
        <v>1731.1999851765052</v>
      </c>
      <c r="H15" s="5">
        <f>G15*0.185390149418926</f>
        <v>320.94742392591479</v>
      </c>
      <c r="I15" s="5">
        <f>B15*0.121280862190267</f>
        <v>1651.9666238936268</v>
      </c>
      <c r="J15" s="5">
        <f>I15*0.121462264150943</f>
        <v>200.65160643990919</v>
      </c>
      <c r="K15" s="5">
        <f>B15*0.0249397085404107</f>
        <v>339.70377002893417</v>
      </c>
      <c r="L15" s="5">
        <f>K15*0.206366796850872</f>
        <v>70.103578899036407</v>
      </c>
      <c r="M15" s="5">
        <f>B15*0.214617035341774</f>
        <v>2923.2986383903039</v>
      </c>
      <c r="N15" s="5">
        <f>M15*0.206366796850872</f>
        <v>603.27177624312264</v>
      </c>
      <c r="O15" s="5">
        <f>B15*0.174198442478999</f>
        <v>2372.7569850064451</v>
      </c>
      <c r="P15" s="5">
        <f>O15*0.206366796850872</f>
        <v>489.6582587013126</v>
      </c>
      <c r="Q15" s="5">
        <f>B15*0.030740901613941</f>
        <v>418.72182088349035</v>
      </c>
      <c r="R15" s="5">
        <f>Q15*0.206366796850872</f>
        <v>86.410280947290474</v>
      </c>
    </row>
    <row r="16" spans="1:18" x14ac:dyDescent="0.3">
      <c r="A16" s="4" t="s">
        <v>33</v>
      </c>
      <c r="B16" s="5">
        <v>1814</v>
      </c>
      <c r="C16" s="5">
        <f>B16*0.178481735159817</f>
        <v>323.76586757990805</v>
      </c>
      <c r="D16" s="5">
        <f>C16*0</f>
        <v>0</v>
      </c>
      <c r="E16" s="5">
        <f>B16*0.163641552511416</f>
        <v>296.84577625570859</v>
      </c>
      <c r="F16" s="5">
        <f>E16*0</f>
        <v>0</v>
      </c>
      <c r="G16" s="5">
        <f>B16*0.129533068198556</f>
        <v>234.97298571218059</v>
      </c>
      <c r="H16" s="5">
        <f>G16*0</f>
        <v>0</v>
      </c>
      <c r="I16" s="5">
        <f>B16*0.13486890558256</f>
        <v>244.65219472676387</v>
      </c>
      <c r="J16" s="5">
        <f>I16*0</f>
        <v>0</v>
      </c>
      <c r="K16" s="6" t="s">
        <v>20</v>
      </c>
      <c r="L16" s="6" t="s">
        <v>20</v>
      </c>
      <c r="M16" s="5">
        <f>B16*0.240708171306526</f>
        <v>436.64462275003814</v>
      </c>
      <c r="N16" s="5">
        <f>M16*0.0757743362831858</f>
        <v>33.086456480506193</v>
      </c>
      <c r="O16" s="5">
        <f>B16*0.152766567241125</f>
        <v>277.11855297540075</v>
      </c>
      <c r="P16" s="5">
        <f>O16*0.0757743362831858</f>
        <v>20.998474423467858</v>
      </c>
      <c r="Q16" s="6" t="s">
        <v>20</v>
      </c>
      <c r="R16" s="6" t="s">
        <v>20</v>
      </c>
    </row>
    <row r="17" spans="1:18" x14ac:dyDescent="0.3">
      <c r="A17" s="9" t="s">
        <v>34</v>
      </c>
      <c r="B17" s="10">
        <f t="shared" ref="B17:R17" si="0">SUM(B4:B16)</f>
        <v>66288</v>
      </c>
      <c r="C17" s="10">
        <f t="shared" si="0"/>
        <v>10877.84850935175</v>
      </c>
      <c r="D17" s="10">
        <f t="shared" si="0"/>
        <v>1363.4966739776739</v>
      </c>
      <c r="E17" s="10">
        <f t="shared" si="0"/>
        <v>9795.0663197169015</v>
      </c>
      <c r="F17" s="10">
        <f t="shared" si="0"/>
        <v>1152.3941643011347</v>
      </c>
      <c r="G17" s="10">
        <f t="shared" si="0"/>
        <v>9818.7228627148597</v>
      </c>
      <c r="H17" s="10">
        <f t="shared" si="0"/>
        <v>1510.5850313953879</v>
      </c>
      <c r="I17" s="10">
        <f t="shared" si="0"/>
        <v>9029.9657328547801</v>
      </c>
      <c r="J17" s="10">
        <f t="shared" si="0"/>
        <v>1177.8664318686006</v>
      </c>
      <c r="K17" s="10">
        <f t="shared" si="0"/>
        <v>1268.0514844851518</v>
      </c>
      <c r="L17" s="10">
        <f t="shared" si="0"/>
        <v>215.48678376076901</v>
      </c>
      <c r="M17" s="10">
        <f t="shared" si="0"/>
        <v>13474.313247400696</v>
      </c>
      <c r="N17" s="10">
        <f t="shared" si="0"/>
        <v>2375.1550909584466</v>
      </c>
      <c r="O17" s="10">
        <f t="shared" si="0"/>
        <v>11016.445771822944</v>
      </c>
      <c r="P17" s="10">
        <f t="shared" si="0"/>
        <v>1944.8431509923928</v>
      </c>
      <c r="Q17" s="10">
        <f t="shared" si="0"/>
        <v>1207.5860716529189</v>
      </c>
      <c r="R17" s="10">
        <f t="shared" si="0"/>
        <v>203.38846405352905</v>
      </c>
    </row>
    <row r="19" spans="1:18" x14ac:dyDescent="0.3">
      <c r="A19" s="11"/>
    </row>
    <row r="20" spans="1:18" x14ac:dyDescent="0.3">
      <c r="A20" s="12"/>
    </row>
    <row r="21" spans="1:18" x14ac:dyDescent="0.3">
      <c r="A21" s="12"/>
    </row>
    <row r="22" spans="1:18" x14ac:dyDescent="0.3">
      <c r="A22" s="12"/>
    </row>
    <row r="23" spans="1:18" x14ac:dyDescent="0.3">
      <c r="A23" s="12"/>
    </row>
    <row r="24" spans="1:18" x14ac:dyDescent="0.3">
      <c r="A24" s="12"/>
    </row>
    <row r="25" spans="1:18" x14ac:dyDescent="0.3">
      <c r="A25" s="12"/>
    </row>
    <row r="26" spans="1:18" x14ac:dyDescent="0.3">
      <c r="A26" s="12"/>
    </row>
  </sheetData>
  <mergeCells count="1">
    <mergeCell ref="A1:R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 Day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Aaron Mobley</cp:lastModifiedBy>
  <cp:revision>0</cp:revision>
  <dcterms:created xsi:type="dcterms:W3CDTF">2026-07-27T14:46:23Z</dcterms:created>
  <dcterms:modified xsi:type="dcterms:W3CDTF">2026-08-20T20:33:43Z</dcterms:modified>
  <dc:language>en-US</dc:language>
</cp:coreProperties>
</file>